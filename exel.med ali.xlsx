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5B891C4-6D2A-4FBB-9080-DEE009FDDB96}" xr6:coauthVersionLast="47" xr6:coauthVersionMax="47" xr10:uidLastSave="{00000000-0000-0000-0000-000000000000}"/>
  <bookViews>
    <workbookView xWindow="-120" yWindow="-120" windowWidth="29040" windowHeight="15720" activeTab="1" xr2:uid="{31E262E5-644F-4B31-B8DD-8F9CC9978ECC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2" i="2"/>
  <c r="H3" i="2"/>
  <c r="H6" i="2"/>
  <c r="H7" i="2"/>
  <c r="H8" i="2"/>
  <c r="H9" i="2"/>
  <c r="H10" i="2"/>
  <c r="H2" i="2"/>
  <c r="F4" i="2"/>
  <c r="F5" i="2"/>
  <c r="F6" i="2"/>
  <c r="F7" i="2"/>
  <c r="F8" i="2"/>
  <c r="F9" i="2"/>
  <c r="F10" i="2"/>
  <c r="E3" i="2"/>
  <c r="F3" i="2" s="1"/>
  <c r="E4" i="2"/>
  <c r="H4" i="2" s="1"/>
  <c r="E5" i="2"/>
  <c r="H5" i="2" s="1"/>
  <c r="E6" i="2"/>
  <c r="E7" i="2"/>
  <c r="E8" i="2"/>
  <c r="E9" i="2"/>
  <c r="E10" i="2"/>
  <c r="E2" i="2"/>
  <c r="F2" i="2"/>
  <c r="H12" i="1"/>
  <c r="I12" i="1"/>
  <c r="J12" i="1"/>
  <c r="G12" i="1"/>
  <c r="F12" i="1"/>
  <c r="E12" i="1"/>
  <c r="J4" i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3" i="1"/>
  <c r="E4" i="1"/>
  <c r="E5" i="1"/>
  <c r="E6" i="1"/>
  <c r="E7" i="1"/>
  <c r="E8" i="1"/>
  <c r="E9" i="1"/>
  <c r="E10" i="1"/>
  <c r="E11" i="1"/>
  <c r="E3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<sst xmlns="http://schemas.openxmlformats.org/spreadsheetml/2006/main" count="47" uniqueCount="43">
  <si>
    <t>SALAIRES</t>
  </si>
  <si>
    <t>Employés</t>
  </si>
  <si>
    <t>No heures travail</t>
  </si>
  <si>
    <t>Taux horaire</t>
  </si>
  <si>
    <t>Salaire de base</t>
  </si>
  <si>
    <t>Indem</t>
  </si>
  <si>
    <t>Retenus</t>
  </si>
  <si>
    <t>Salaire Impos</t>
  </si>
  <si>
    <t>Impôt</t>
  </si>
  <si>
    <t>Samira</t>
  </si>
  <si>
    <t>Fatma</t>
  </si>
  <si>
    <t>Latifa</t>
  </si>
  <si>
    <t>Mounira</t>
  </si>
  <si>
    <t>Alia</t>
  </si>
  <si>
    <t>Mouna</t>
  </si>
  <si>
    <t>Rafika</t>
  </si>
  <si>
    <t>Hamida</t>
  </si>
  <si>
    <t>Sarra</t>
  </si>
  <si>
    <t>TOTAL</t>
  </si>
  <si>
    <t>NOMBRE DES HEURES SUPPLEMENTAIRES</t>
  </si>
  <si>
    <t>salaire net</t>
  </si>
  <si>
    <t>NOM DE GUIDE</t>
  </si>
  <si>
    <t>Région Visité</t>
  </si>
  <si>
    <t>Date Sortie</t>
  </si>
  <si>
    <t>Date D'entrée</t>
  </si>
  <si>
    <t>Honoraire</t>
  </si>
  <si>
    <t>Prime 1</t>
  </si>
  <si>
    <t>Prime 2</t>
  </si>
  <si>
    <t>Honoraire Total</t>
  </si>
  <si>
    <t>ABASSI RIADH</t>
  </si>
  <si>
    <t>Tozeur</t>
  </si>
  <si>
    <t>elvin limem</t>
  </si>
  <si>
    <t>Matmata</t>
  </si>
  <si>
    <t>Stefane Claude</t>
  </si>
  <si>
    <t>Sidi Bousaid</t>
  </si>
  <si>
    <t>Hamami Sawssen</t>
  </si>
  <si>
    <t>Hammamet</t>
  </si>
  <si>
    <t>Brahim Ali</t>
  </si>
  <si>
    <t>Hosni Samira</t>
  </si>
  <si>
    <t>Sidi bousaid</t>
  </si>
  <si>
    <t>Arjoud Monia</t>
  </si>
  <si>
    <t>Benit Marguet</t>
  </si>
  <si>
    <t>Albert Jivanoti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</si>
</sst>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/>
    </xf>
    <xf numFmtId="1" fontId="0" fillId="0" borderId="2" xfId="0" applyNumberFormat="1" applyBorder="1"/>
    <xf numFmtId="14" fontId="0" fillId="0" borderId="2" xfId="0" applyNumberFormat="1" applyBorder="1"/>
    <xf numFmtId="0" fontId="2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0D31-8532-4222-870C-C8B5804A974D}">
  <dimension ref="A1:J12"/>
  <sheetViews>
    <sheetView workbookViewId="0">
      <selection activeCell="D3" sqref="D3"/>
    </sheetView>
  </sheetViews>
  <sheetFormatPr baseColWidth="10" defaultRowHeight="15" x14ac:dyDescent="0.25"/>
  <cols>
    <col min="4" max="4" width="11.85546875" customWidth="1"/>
    <col min="5" max="5" width="12" customWidth="1"/>
  </cols>
  <sheetData>
    <row r="1" spans="1:10" ht="15.75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</row>
    <row r="2" spans="1:10" s="4" customFormat="1" ht="75" x14ac:dyDescent="0.25">
      <c r="A2" s="11" t="s">
        <v>1</v>
      </c>
      <c r="B2" s="12" t="s">
        <v>2</v>
      </c>
      <c r="C2" s="13" t="s">
        <v>3</v>
      </c>
      <c r="D2" s="13" t="s">
        <v>19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2" t="s">
        <v>20</v>
      </c>
    </row>
    <row r="3" spans="1:10" x14ac:dyDescent="0.25">
      <c r="A3" s="10" t="s">
        <v>10</v>
      </c>
      <c r="B3" s="3">
        <v>240</v>
      </c>
      <c r="C3" s="5">
        <v>1.3</v>
      </c>
      <c r="D3" s="7">
        <f>B3-240</f>
        <v>0</v>
      </c>
      <c r="E3" s="6">
        <f>IF(B3=240,B3*C3,240*C3+(IF(D3&gt;40,2.5*D3,IF(D3&lt;20,1.5*D3,2*D3))))</f>
        <v>312</v>
      </c>
      <c r="F3" s="5">
        <v>15</v>
      </c>
      <c r="G3" s="5">
        <v>25</v>
      </c>
      <c r="H3" s="6">
        <f>E3+F3+G3</f>
        <v>352</v>
      </c>
      <c r="I3" s="5">
        <f>H3*25%</f>
        <v>88</v>
      </c>
      <c r="J3" s="5">
        <f>H3-I3</f>
        <v>264</v>
      </c>
    </row>
    <row r="4" spans="1:10" x14ac:dyDescent="0.25">
      <c r="A4" s="10" t="s">
        <v>9</v>
      </c>
      <c r="B4" s="3">
        <v>310</v>
      </c>
      <c r="C4" s="5">
        <v>0.8</v>
      </c>
      <c r="D4" s="7">
        <f t="shared" ref="D4:D11" si="0">B4-240</f>
        <v>70</v>
      </c>
      <c r="E4" s="6">
        <f t="shared" ref="E4:E11" si="1">IF(B4=240,B4*C4,240*C4+(IF(D4&gt;40,2.5*D4,IF(D4&lt;20,1.5*D4,2*D4))))</f>
        <v>367</v>
      </c>
      <c r="F4" s="5">
        <v>12</v>
      </c>
      <c r="G4" s="5">
        <v>21</v>
      </c>
      <c r="H4" s="6">
        <f t="shared" ref="H4:H11" si="2">E4+F4+G4</f>
        <v>400</v>
      </c>
      <c r="I4" s="5">
        <f t="shared" ref="I4:I12" si="3">H4*25%</f>
        <v>100</v>
      </c>
      <c r="J4" s="5">
        <f t="shared" ref="J4:J12" si="4">H4-I4</f>
        <v>300</v>
      </c>
    </row>
    <row r="5" spans="1:10" x14ac:dyDescent="0.25">
      <c r="A5" s="10" t="s">
        <v>11</v>
      </c>
      <c r="B5" s="3">
        <v>250</v>
      </c>
      <c r="C5" s="5">
        <v>1</v>
      </c>
      <c r="D5" s="7">
        <f t="shared" si="0"/>
        <v>10</v>
      </c>
      <c r="E5" s="6">
        <f t="shared" si="1"/>
        <v>255</v>
      </c>
      <c r="F5" s="5">
        <v>12</v>
      </c>
      <c r="G5" s="5">
        <v>25</v>
      </c>
      <c r="H5" s="6">
        <f t="shared" si="2"/>
        <v>292</v>
      </c>
      <c r="I5" s="5">
        <f t="shared" si="3"/>
        <v>73</v>
      </c>
      <c r="J5" s="5">
        <f t="shared" si="4"/>
        <v>219</v>
      </c>
    </row>
    <row r="6" spans="1:10" x14ac:dyDescent="0.25">
      <c r="A6" s="10" t="s">
        <v>12</v>
      </c>
      <c r="B6" s="3">
        <v>290</v>
      </c>
      <c r="C6" s="5">
        <v>0.9</v>
      </c>
      <c r="D6" s="7">
        <f t="shared" si="0"/>
        <v>50</v>
      </c>
      <c r="E6" s="6">
        <f t="shared" si="1"/>
        <v>341</v>
      </c>
      <c r="F6" s="5">
        <v>17</v>
      </c>
      <c r="G6" s="5">
        <v>9</v>
      </c>
      <c r="H6" s="6">
        <f t="shared" si="2"/>
        <v>367</v>
      </c>
      <c r="I6" s="5">
        <f t="shared" si="3"/>
        <v>91.75</v>
      </c>
      <c r="J6" s="5">
        <f t="shared" si="4"/>
        <v>275.25</v>
      </c>
    </row>
    <row r="7" spans="1:10" x14ac:dyDescent="0.25">
      <c r="A7" s="10" t="s">
        <v>13</v>
      </c>
      <c r="B7" s="3">
        <v>300</v>
      </c>
      <c r="C7" s="5">
        <v>1.2</v>
      </c>
      <c r="D7" s="7">
        <f t="shared" si="0"/>
        <v>60</v>
      </c>
      <c r="E7" s="6">
        <f t="shared" si="1"/>
        <v>438</v>
      </c>
      <c r="F7" s="5">
        <v>12</v>
      </c>
      <c r="G7" s="5">
        <v>6</v>
      </c>
      <c r="H7" s="6">
        <f t="shared" si="2"/>
        <v>456</v>
      </c>
      <c r="I7" s="5">
        <f t="shared" si="3"/>
        <v>114</v>
      </c>
      <c r="J7" s="5">
        <f t="shared" si="4"/>
        <v>342</v>
      </c>
    </row>
    <row r="8" spans="1:10" x14ac:dyDescent="0.25">
      <c r="A8" s="10" t="s">
        <v>14</v>
      </c>
      <c r="B8" s="3">
        <v>250</v>
      </c>
      <c r="C8" s="5">
        <v>0.95</v>
      </c>
      <c r="D8" s="7">
        <f t="shared" si="0"/>
        <v>10</v>
      </c>
      <c r="E8" s="6">
        <f t="shared" si="1"/>
        <v>243</v>
      </c>
      <c r="F8" s="5">
        <v>18</v>
      </c>
      <c r="G8" s="5">
        <v>10</v>
      </c>
      <c r="H8" s="6">
        <f t="shared" si="2"/>
        <v>271</v>
      </c>
      <c r="I8" s="5">
        <f t="shared" si="3"/>
        <v>67.75</v>
      </c>
      <c r="J8" s="5">
        <f t="shared" si="4"/>
        <v>203.25</v>
      </c>
    </row>
    <row r="9" spans="1:10" x14ac:dyDescent="0.25">
      <c r="A9" s="10" t="s">
        <v>15</v>
      </c>
      <c r="B9" s="3">
        <v>320</v>
      </c>
      <c r="C9" s="5">
        <v>1</v>
      </c>
      <c r="D9" s="7">
        <f t="shared" si="0"/>
        <v>80</v>
      </c>
      <c r="E9" s="6">
        <f t="shared" si="1"/>
        <v>440</v>
      </c>
      <c r="F9" s="5">
        <v>13</v>
      </c>
      <c r="G9" s="5">
        <v>5</v>
      </c>
      <c r="H9" s="6">
        <f t="shared" si="2"/>
        <v>458</v>
      </c>
      <c r="I9" s="5">
        <f t="shared" si="3"/>
        <v>114.5</v>
      </c>
      <c r="J9" s="5">
        <f t="shared" si="4"/>
        <v>343.5</v>
      </c>
    </row>
    <row r="10" spans="1:10" x14ac:dyDescent="0.25">
      <c r="A10" s="10" t="s">
        <v>16</v>
      </c>
      <c r="B10" s="3">
        <v>240</v>
      </c>
      <c r="C10" s="5">
        <v>1.1000000000000001</v>
      </c>
      <c r="D10" s="7">
        <f t="shared" si="0"/>
        <v>0</v>
      </c>
      <c r="E10" s="6">
        <f t="shared" si="1"/>
        <v>264</v>
      </c>
      <c r="F10" s="5">
        <v>19</v>
      </c>
      <c r="G10" s="5">
        <v>10</v>
      </c>
      <c r="H10" s="6">
        <f t="shared" si="2"/>
        <v>293</v>
      </c>
      <c r="I10" s="5">
        <f t="shared" si="3"/>
        <v>73.25</v>
      </c>
      <c r="J10" s="5">
        <f t="shared" si="4"/>
        <v>219.75</v>
      </c>
    </row>
    <row r="11" spans="1:10" x14ac:dyDescent="0.25">
      <c r="A11" s="10" t="s">
        <v>17</v>
      </c>
      <c r="B11" s="3">
        <v>250</v>
      </c>
      <c r="C11" s="5">
        <v>1.3</v>
      </c>
      <c r="D11" s="7">
        <f t="shared" si="0"/>
        <v>10</v>
      </c>
      <c r="E11" s="6">
        <f t="shared" si="1"/>
        <v>327</v>
      </c>
      <c r="F11" s="5">
        <v>20</v>
      </c>
      <c r="G11" s="5">
        <v>10</v>
      </c>
      <c r="H11" s="6">
        <f t="shared" si="2"/>
        <v>357</v>
      </c>
      <c r="I11" s="5">
        <f t="shared" si="3"/>
        <v>89.25</v>
      </c>
      <c r="J11" s="5">
        <f t="shared" si="4"/>
        <v>267.75</v>
      </c>
    </row>
    <row r="12" spans="1:10" ht="15.75" x14ac:dyDescent="0.25">
      <c r="A12" s="14" t="s">
        <v>18</v>
      </c>
      <c r="B12" s="15"/>
      <c r="C12" s="15"/>
      <c r="D12" s="16"/>
      <c r="E12" s="6">
        <f>SUM(E3:E11)</f>
        <v>2987</v>
      </c>
      <c r="F12" s="5">
        <f>SUM(F3:F11)</f>
        <v>138</v>
      </c>
      <c r="G12" s="5">
        <f>SUM(G3:G11)</f>
        <v>121</v>
      </c>
      <c r="H12" s="6">
        <f>SUM(H3:H11)</f>
        <v>3246</v>
      </c>
      <c r="I12" s="1">
        <f t="shared" si="3"/>
        <v>811.5</v>
      </c>
      <c r="J12" s="5">
        <f t="shared" si="4"/>
        <v>2434.5</v>
      </c>
    </row>
  </sheetData>
  <mergeCells count="2">
    <mergeCell ref="A12:D12"/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27AD-58E5-4056-A786-5E11107F74D4}">
  <dimension ref="A1:I10"/>
  <sheetViews>
    <sheetView tabSelected="1" workbookViewId="0">
      <selection activeCell="H2" sqref="H2:H10"/>
    </sheetView>
  </sheetViews>
  <sheetFormatPr baseColWidth="10" defaultRowHeight="15" x14ac:dyDescent="0.25"/>
  <cols>
    <col min="1" max="1" width="16.28515625" customWidth="1"/>
    <col min="2" max="2" width="13.140625" customWidth="1"/>
    <col min="4" max="4" width="13.28515625" customWidth="1"/>
    <col min="7" max="7" width="0" hidden="1" customWidth="1"/>
    <col min="9" max="9" width="16.140625" customWidth="1"/>
  </cols>
  <sheetData>
    <row r="1" spans="1:9" x14ac:dyDescent="0.25">
      <c r="A1" s="10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/>
      <c r="H1" s="9" t="s">
        <v>27</v>
      </c>
      <c r="I1" s="9" t="s">
        <v>28</v>
      </c>
    </row>
    <row r="2" spans="1:9" x14ac:dyDescent="0.25">
      <c r="A2" s="10" t="s">
        <v>29</v>
      </c>
      <c r="B2" s="1" t="s">
        <v>30</v>
      </c>
      <c r="C2" s="8">
        <v>37784</v>
      </c>
      <c r="D2" s="8">
        <v>37787</v>
      </c>
      <c r="E2" s="1">
        <f>(D2-C2)*30</f>
        <v>90</v>
      </c>
      <c r="F2" s="5">
        <f>IF(OR(B2 ="tozeur",B2 = "matmata"),E2*2%,)</f>
        <v>1.8</v>
      </c>
      <c r="G2" s="7">
        <f>D2-C2</f>
        <v>3</v>
      </c>
      <c r="H2" s="5">
        <f>IF(AND((D2-C2)&gt;5,OR(B2="hammamet",B2="Sidi bousaid")),E2*5%,0)</f>
        <v>0</v>
      </c>
      <c r="I2" s="1"/>
    </row>
    <row r="3" spans="1:9" x14ac:dyDescent="0.25">
      <c r="A3" s="10" t="s">
        <v>31</v>
      </c>
      <c r="B3" s="1" t="s">
        <v>32</v>
      </c>
      <c r="C3" s="8">
        <v>37748</v>
      </c>
      <c r="D3" s="8">
        <v>37750</v>
      </c>
      <c r="E3" s="1">
        <f t="shared" ref="E3:E10" si="0">(D3-C3)*30</f>
        <v>60</v>
      </c>
      <c r="F3" s="5">
        <f t="shared" ref="F3:F10" si="1">IF(OR(B3 ="tozeur",B3 = "matmata"),E3*2%,)</f>
        <v>1.2</v>
      </c>
      <c r="G3" s="7">
        <f t="shared" ref="G3:G10" si="2">D3-C3</f>
        <v>2</v>
      </c>
      <c r="H3" s="5">
        <f t="shared" ref="H3:H10" si="3">IF(AND((D3-C3)&gt;5,OR(B3="hammamet",B3="Sidi bousaid")),E3*5%,0)</f>
        <v>0</v>
      </c>
      <c r="I3" s="1"/>
    </row>
    <row r="4" spans="1:9" x14ac:dyDescent="0.25">
      <c r="A4" s="10" t="s">
        <v>33</v>
      </c>
      <c r="B4" s="1" t="s">
        <v>34</v>
      </c>
      <c r="C4" s="8">
        <v>37786</v>
      </c>
      <c r="D4" s="8">
        <v>37795</v>
      </c>
      <c r="E4" s="1">
        <f t="shared" si="0"/>
        <v>270</v>
      </c>
      <c r="F4" s="5">
        <f t="shared" si="1"/>
        <v>0</v>
      </c>
      <c r="G4" s="7">
        <f t="shared" si="2"/>
        <v>9</v>
      </c>
      <c r="H4" s="5">
        <f t="shared" si="3"/>
        <v>13.5</v>
      </c>
      <c r="I4" s="1"/>
    </row>
    <row r="5" spans="1:9" x14ac:dyDescent="0.25">
      <c r="A5" s="10" t="s">
        <v>35</v>
      </c>
      <c r="B5" s="1" t="s">
        <v>36</v>
      </c>
      <c r="C5" s="8">
        <v>37793</v>
      </c>
      <c r="D5" s="8">
        <v>37802</v>
      </c>
      <c r="E5" s="1">
        <f t="shared" si="0"/>
        <v>270</v>
      </c>
      <c r="F5" s="5">
        <f t="shared" si="1"/>
        <v>0</v>
      </c>
      <c r="G5" s="7">
        <f t="shared" si="2"/>
        <v>9</v>
      </c>
      <c r="H5" s="5">
        <f t="shared" si="3"/>
        <v>13.5</v>
      </c>
      <c r="I5" s="1"/>
    </row>
    <row r="6" spans="1:9" x14ac:dyDescent="0.25">
      <c r="A6" s="10" t="s">
        <v>37</v>
      </c>
      <c r="B6" s="1" t="s">
        <v>30</v>
      </c>
      <c r="C6" s="8">
        <v>37803</v>
      </c>
      <c r="D6" s="8">
        <v>37807</v>
      </c>
      <c r="E6" s="1">
        <f t="shared" si="0"/>
        <v>120</v>
      </c>
      <c r="F6" s="5">
        <f t="shared" si="1"/>
        <v>2.4</v>
      </c>
      <c r="G6" s="7">
        <f t="shared" si="2"/>
        <v>4</v>
      </c>
      <c r="H6" s="5">
        <f t="shared" si="3"/>
        <v>0</v>
      </c>
      <c r="I6" s="1"/>
    </row>
    <row r="7" spans="1:9" x14ac:dyDescent="0.25">
      <c r="A7" s="10" t="s">
        <v>38</v>
      </c>
      <c r="B7" s="1" t="s">
        <v>39</v>
      </c>
      <c r="C7" s="8">
        <v>37805</v>
      </c>
      <c r="D7" s="8">
        <v>37808</v>
      </c>
      <c r="E7" s="1">
        <f t="shared" si="0"/>
        <v>90</v>
      </c>
      <c r="F7" s="5">
        <f t="shared" si="1"/>
        <v>0</v>
      </c>
      <c r="G7" s="7">
        <f t="shared" si="2"/>
        <v>3</v>
      </c>
      <c r="H7" s="5">
        <f t="shared" si="3"/>
        <v>0</v>
      </c>
      <c r="I7" s="1"/>
    </row>
    <row r="8" spans="1:9" x14ac:dyDescent="0.25">
      <c r="A8" s="10" t="s">
        <v>40</v>
      </c>
      <c r="B8" s="1" t="s">
        <v>30</v>
      </c>
      <c r="C8" s="8">
        <v>37812</v>
      </c>
      <c r="D8" s="8">
        <v>37814</v>
      </c>
      <c r="E8" s="1">
        <f t="shared" si="0"/>
        <v>60</v>
      </c>
      <c r="F8" s="5">
        <f t="shared" si="1"/>
        <v>1.2</v>
      </c>
      <c r="G8" s="7">
        <f t="shared" si="2"/>
        <v>2</v>
      </c>
      <c r="H8" s="5">
        <f t="shared" si="3"/>
        <v>0</v>
      </c>
      <c r="I8" s="1"/>
    </row>
    <row r="9" spans="1:9" x14ac:dyDescent="0.25">
      <c r="A9" s="10" t="s">
        <v>41</v>
      </c>
      <c r="B9" s="1" t="s">
        <v>32</v>
      </c>
      <c r="C9" s="8">
        <v>37803</v>
      </c>
      <c r="D9" s="8">
        <v>37808</v>
      </c>
      <c r="E9" s="1">
        <f t="shared" si="0"/>
        <v>150</v>
      </c>
      <c r="F9" s="5">
        <f t="shared" si="1"/>
        <v>3</v>
      </c>
      <c r="G9" s="7">
        <f t="shared" si="2"/>
        <v>5</v>
      </c>
      <c r="H9" s="5">
        <f t="shared" si="3"/>
        <v>0</v>
      </c>
      <c r="I9" s="1"/>
    </row>
    <row r="10" spans="1:9" x14ac:dyDescent="0.25">
      <c r="A10" s="10" t="s">
        <v>42</v>
      </c>
      <c r="B10" s="1" t="s">
        <v>34</v>
      </c>
      <c r="C10" s="8">
        <v>37804</v>
      </c>
      <c r="D10" s="8">
        <v>37811</v>
      </c>
      <c r="E10" s="1">
        <f t="shared" si="0"/>
        <v>210</v>
      </c>
      <c r="F10" s="5">
        <f t="shared" si="1"/>
        <v>0</v>
      </c>
      <c r="G10" s="7">
        <f t="shared" si="2"/>
        <v>7</v>
      </c>
      <c r="H10" s="5">
        <f t="shared" si="3"/>
        <v>10.5</v>
      </c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2026-04-10T08:01:11Z</dcterms:created>
  <dcterms:modified xsi:type="dcterms:W3CDTF">2026-04-10T09:59:20Z</dcterms:modified>
</cp:coreProperties>
</file>